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ownloads\"/>
    </mc:Choice>
  </mc:AlternateContent>
  <xr:revisionPtr revIDLastSave="0" documentId="13_ncr:1_{A85A9600-EDE2-4B8E-AF06-0D415436166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аб. Раб. №3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D8" i="1"/>
  <c r="E8" i="1"/>
  <c r="F8" i="1"/>
  <c r="G8" i="1"/>
  <c r="H8" i="1"/>
  <c r="I8" i="1"/>
  <c r="J8" i="1"/>
  <c r="K8" i="1"/>
  <c r="L8" i="1"/>
  <c r="M8" i="1"/>
  <c r="N8" i="1"/>
  <c r="O8" i="1"/>
  <c r="C6" i="1"/>
  <c r="D6" i="1"/>
  <c r="E6" i="1"/>
  <c r="F6" i="1"/>
  <c r="G6" i="1"/>
  <c r="H6" i="1"/>
  <c r="I6" i="1"/>
  <c r="J6" i="1"/>
  <c r="K6" i="1"/>
  <c r="L6" i="1"/>
  <c r="M6" i="1"/>
  <c r="N6" i="1"/>
  <c r="O6" i="1"/>
  <c r="B6" i="1"/>
  <c r="B8" i="1" s="1"/>
  <c r="P8" i="1"/>
  <c r="BA17" i="1"/>
  <c r="BB17" i="1"/>
  <c r="BB19" i="1" s="1"/>
  <c r="BC17" i="1"/>
  <c r="BC19" i="1" s="1"/>
  <c r="BD17" i="1"/>
  <c r="BD19" i="1" s="1"/>
  <c r="BE17" i="1"/>
  <c r="BE19" i="1" s="1"/>
  <c r="BF17" i="1"/>
  <c r="BG17" i="1"/>
  <c r="BH17" i="1"/>
  <c r="BH19" i="1" s="1"/>
  <c r="BI17" i="1"/>
  <c r="BI19" i="1" s="1"/>
  <c r="BJ17" i="1"/>
  <c r="BJ19" i="1" s="1"/>
  <c r="BK17" i="1"/>
  <c r="BK19" i="1" s="1"/>
  <c r="BL17" i="1"/>
  <c r="BL19" i="1" s="1"/>
  <c r="BM17" i="1"/>
  <c r="BN17" i="1"/>
  <c r="BN19" i="1" s="1"/>
  <c r="BO17" i="1"/>
  <c r="BO19" i="1" s="1"/>
  <c r="BP17" i="1"/>
  <c r="BP19" i="1" s="1"/>
  <c r="BQ17" i="1"/>
  <c r="BQ19" i="1" s="1"/>
  <c r="BR17" i="1"/>
  <c r="BR19" i="1" s="1"/>
  <c r="BS17" i="1"/>
  <c r="BT17" i="1"/>
  <c r="BT19" i="1" s="1"/>
  <c r="BU17" i="1"/>
  <c r="BU19" i="1" s="1"/>
  <c r="BA19" i="1"/>
  <c r="BF19" i="1"/>
  <c r="BG19" i="1"/>
  <c r="BM19" i="1"/>
  <c r="BS19" i="1"/>
  <c r="Q17" i="1"/>
  <c r="Q19" i="1" s="1"/>
  <c r="K17" i="1"/>
  <c r="K19" i="1" s="1"/>
  <c r="C17" i="1"/>
  <c r="C19" i="1" s="1"/>
  <c r="D17" i="1"/>
  <c r="D19" i="1" s="1"/>
  <c r="E17" i="1"/>
  <c r="E19" i="1" s="1"/>
  <c r="F17" i="1"/>
  <c r="F19" i="1" s="1"/>
  <c r="G17" i="1"/>
  <c r="G19" i="1" s="1"/>
  <c r="H17" i="1"/>
  <c r="H19" i="1" s="1"/>
  <c r="I17" i="1"/>
  <c r="I19" i="1" s="1"/>
  <c r="J17" i="1"/>
  <c r="J19" i="1" s="1"/>
  <c r="L17" i="1"/>
  <c r="L19" i="1" s="1"/>
  <c r="M17" i="1"/>
  <c r="M19" i="1" s="1"/>
  <c r="N17" i="1"/>
  <c r="N19" i="1" s="1"/>
  <c r="O17" i="1"/>
  <c r="O19" i="1" s="1"/>
  <c r="B17" i="1"/>
  <c r="B19" i="1" s="1"/>
  <c r="P17" i="1"/>
  <c r="P19" i="1" s="1"/>
  <c r="R17" i="1"/>
  <c r="R19" i="1" s="1"/>
  <c r="S17" i="1"/>
  <c r="S19" i="1" s="1"/>
  <c r="T17" i="1"/>
  <c r="T19" i="1" s="1"/>
  <c r="U17" i="1"/>
  <c r="U19" i="1" s="1"/>
  <c r="V17" i="1"/>
  <c r="V19" i="1" s="1"/>
  <c r="W17" i="1"/>
  <c r="W19" i="1" s="1"/>
  <c r="X17" i="1"/>
  <c r="X19" i="1" s="1"/>
  <c r="Y17" i="1"/>
  <c r="Y19" i="1" s="1"/>
  <c r="Z17" i="1"/>
  <c r="Z19" i="1" s="1"/>
  <c r="AA17" i="1"/>
  <c r="AA19" i="1" s="1"/>
  <c r="AB17" i="1"/>
  <c r="AB19" i="1" s="1"/>
  <c r="AC17" i="1"/>
  <c r="AC19" i="1" s="1"/>
  <c r="AD17" i="1"/>
  <c r="AD19" i="1" s="1"/>
  <c r="AE17" i="1"/>
  <c r="AE19" i="1" s="1"/>
  <c r="AF17" i="1"/>
  <c r="AF19" i="1" s="1"/>
  <c r="AG17" i="1"/>
  <c r="AG19" i="1" s="1"/>
  <c r="AH17" i="1"/>
  <c r="AH19" i="1" s="1"/>
  <c r="AI17" i="1"/>
  <c r="AI19" i="1" s="1"/>
  <c r="AJ17" i="1"/>
  <c r="AJ19" i="1" s="1"/>
  <c r="AK17" i="1"/>
  <c r="AK19" i="1" s="1"/>
  <c r="AL17" i="1"/>
  <c r="AL19" i="1" s="1"/>
  <c r="AM17" i="1"/>
  <c r="AM19" i="1" s="1"/>
  <c r="AN17" i="1"/>
  <c r="AN19" i="1" s="1"/>
  <c r="AO17" i="1"/>
  <c r="AO19" i="1" s="1"/>
  <c r="AP17" i="1"/>
  <c r="AP19" i="1" s="1"/>
  <c r="AQ17" i="1"/>
  <c r="AQ19" i="1" s="1"/>
  <c r="AR17" i="1"/>
  <c r="AR19" i="1" s="1"/>
  <c r="AS17" i="1"/>
  <c r="AS19" i="1" s="1"/>
  <c r="AT17" i="1"/>
  <c r="AT19" i="1" s="1"/>
  <c r="AU17" i="1"/>
  <c r="AU19" i="1" s="1"/>
  <c r="AV17" i="1"/>
  <c r="AV19" i="1" s="1"/>
  <c r="AW17" i="1"/>
  <c r="AW19" i="1" s="1"/>
  <c r="AX17" i="1"/>
  <c r="AX19" i="1" s="1"/>
  <c r="AY17" i="1"/>
  <c r="AY19" i="1" s="1"/>
  <c r="AZ17" i="1"/>
  <c r="AZ19" i="1" s="1"/>
</calcChain>
</file>

<file path=xl/sharedStrings.xml><?xml version="1.0" encoding="utf-8"?>
<sst xmlns="http://schemas.openxmlformats.org/spreadsheetml/2006/main" count="131" uniqueCount="79">
  <si>
    <t>Метод подстановки</t>
  </si>
  <si>
    <t>Ключ=</t>
  </si>
  <si>
    <t>Исходный текст</t>
  </si>
  <si>
    <t>с</t>
  </si>
  <si>
    <t>о</t>
  </si>
  <si>
    <t>л</t>
  </si>
  <si>
    <t>н</t>
  </si>
  <si>
    <t>е</t>
  </si>
  <si>
    <t>ч</t>
  </si>
  <si>
    <t>ы</t>
  </si>
  <si>
    <t>д</t>
  </si>
  <si>
    <t>ь</t>
  </si>
  <si>
    <t>Шифр</t>
  </si>
  <si>
    <t>Расшифровка</t>
  </si>
  <si>
    <t>Ч</t>
  </si>
  <si>
    <t>м</t>
  </si>
  <si>
    <t>т</t>
  </si>
  <si>
    <t>ш</t>
  </si>
  <si>
    <t>,</t>
  </si>
  <si>
    <t>б</t>
  </si>
  <si>
    <t>в</t>
  </si>
  <si>
    <t>х</t>
  </si>
  <si>
    <t>я</t>
  </si>
  <si>
    <t>у</t>
  </si>
  <si>
    <t>з</t>
  </si>
  <si>
    <t>а</t>
  </si>
  <si>
    <t>р</t>
  </si>
  <si>
    <t>ж</t>
  </si>
  <si>
    <t>и</t>
  </si>
  <si>
    <t>.</t>
  </si>
  <si>
    <t>Б</t>
  </si>
  <si>
    <t>г</t>
  </si>
  <si>
    <t>№1</t>
  </si>
  <si>
    <r>
      <t>1)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4:</t>
    </r>
  </si>
  <si>
    <t>КОДСИМВ(ь) = 252; 252+4=256; ОСТАТ(256;256)=0; СИМВОЛ(0) = #ЗНАЧ!</t>
  </si>
  <si>
    <r>
      <t>2)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5:</t>
    </r>
  </si>
  <si>
    <t>КОДСИМВ(ы) = 251; 251+5=256; ОСТАТ(256;256)=0; СИМВОЛ(0) = #ЗНАЧ!</t>
  </si>
  <si>
    <r>
      <t>3)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9:</t>
    </r>
  </si>
  <si>
    <t>КОДСИМВ(ч) = 247; 247+9=256; ОСТАТ(256;256)=0; СИМВОЛ(0) = #ЗНАЧ!</t>
  </si>
  <si>
    <r>
      <t>4)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15:</t>
    </r>
  </si>
  <si>
    <t>КОДСИМВ(с) = 241; 247+15=256; ОСТАТ(256;256)=0; СИМВОЛ(0) = #ЗНАЧ!</t>
  </si>
  <si>
    <r>
      <t>5)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18:</t>
    </r>
  </si>
  <si>
    <t>КОДСИМВ(о) = 238; 238+18=256; ОСТАТ(256;256)=0; СИМВОЛ(0) = #ЗНАЧ!</t>
  </si>
  <si>
    <r>
      <t>6)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19:</t>
    </r>
  </si>
  <si>
    <t>КОДСИМВ(н) = 237; 237+19=256; ОСТАТ(256;256)=0; СИМВОЛ(0) = #ЗНАЧ!</t>
  </si>
  <si>
    <r>
      <t>7)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21:</t>
    </r>
  </si>
  <si>
    <t>КОДСИМВ(л) = 235; 235+21=256; ОСТАТ(256;256)=0; СИМВОЛ(0) = #ЗНАЧ!</t>
  </si>
  <si>
    <r>
      <t>8)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23:</t>
    </r>
  </si>
  <si>
    <t>КОДСИМВ(й) = 233; 235+23=256; ОСТАТ(256;256)=0; СИМВОЛ(0) = #ЗНАЧ!</t>
  </si>
  <si>
    <r>
      <t>9)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При B2 = 27:</t>
    </r>
  </si>
  <si>
    <t>КОДСИМВ(е) = 229; 229+27=256; ОСТАТ(256;256)=0; СИМВОЛ(0) = #ЗНАЧ!</t>
  </si>
  <si>
    <r>
      <t>10)</t>
    </r>
    <r>
      <rPr>
        <sz val="7"/>
        <color theme="1"/>
        <rFont val="Times New Roman"/>
        <family val="1"/>
        <charset val="204"/>
      </rPr>
      <t xml:space="preserve">  </t>
    </r>
    <r>
      <rPr>
        <sz val="11"/>
        <color theme="1"/>
        <rFont val="Calibri"/>
        <family val="2"/>
        <charset val="204"/>
        <scheme val="minor"/>
      </rPr>
      <t>При B2 = 28:</t>
    </r>
  </si>
  <si>
    <t>КОДСИМВ(д) = 228; 228+28=256; ОСТАТ(256;256)=0; СИМВОЛ(0) = #ЗНАЧ!</t>
  </si>
  <si>
    <r>
      <t>11)</t>
    </r>
    <r>
      <rPr>
        <sz val="7"/>
        <color theme="1"/>
        <rFont val="Times New Roman"/>
        <family val="1"/>
        <charset val="204"/>
      </rPr>
      <t xml:space="preserve">  </t>
    </r>
    <r>
      <rPr>
        <sz val="11"/>
        <color theme="1"/>
        <rFont val="Calibri"/>
        <family val="2"/>
        <charset val="204"/>
        <scheme val="minor"/>
      </rPr>
      <t>При B2 = 50:</t>
    </r>
  </si>
  <si>
    <t>КОДСИМВ(о) = 238; 238+50=288; ОСТАТ(288;256)=32; СИМВОЛ(32) = “   ”</t>
  </si>
  <si>
    <t>Далее условие C6=СИМВОЛ(32) истинно, следовательно выводится СИМВОЛ(32).</t>
  </si>
  <si>
    <t>Вывод:</t>
  </si>
  <si>
    <t>При значении B2 = 4, 5, 9, 15, 18, 19, 21, 23, 27, 28:</t>
  </si>
  <si>
    <t>Во всех этих случаях КОДСИМВ(B4) возвращает код символа, который суммируется с B2. Затем применяется функция ОСТАТ, которая вычисляет остаток от деления результата на 256. Во всех случаях остаток равен 0, и возвращается #ЗНАЧ!. В формуле есть проверка ЕПУСТО(B4), которая возвращает СИМВОЛ(32) в случае, если значение ячейки B4 пусто.</t>
  </si>
  <si>
    <t>При значении B2 = 50:</t>
  </si>
  <si>
    <t>Значение КОДСИМВ(B6) равно 238, и оно вычитается из B2 (50). Результат равен 288. Затем применяется функция ОСТАТ, и остаток от деления 288 на 256 равен 32. В этом случае, условие C6=СИМВОЛ(32) выполняется, и возвращается символ пробела, СИМВОЛ(32).</t>
  </si>
  <si>
    <t>№2</t>
  </si>
  <si>
    <t>- Пробелы и специальные символы остаются неизменными.</t>
  </si>
  <si>
    <t>Это происходит, потому что алгоритм обрабатывает только верхний и нижний регистр букв русского алфавита (соответствующие коды символов в ASCII - 192-255). Все остальные символы, в том числе пробелы, остаются неизменными. Это означает, что для наблюдателя структура и некоторые элементы исходного текста (пробелы, знаки препинания) в зашифрованном тексте будут видны, что упрощает взлом шифра.</t>
  </si>
  <si>
    <t>- В зашифрованном тексте строчная буква появляется на месте строчной буквы в исходном тексте.</t>
  </si>
  <si>
    <t>Это связано с тем, что обработка строчных и прописных букв происходит отдельно (соответствующие диапазоны кодов в ASCII отличаются). Это делает шифр слишком простым для взлома, так как можно легко определить, на какой позиции находится строчная или прописная буква, что уменьшает степень безопасности шифра.</t>
  </si>
  <si>
    <t>№3</t>
  </si>
  <si>
    <t>Оба приведенных вами алгоритма используют принцип работы шифра Цезаря, который сдвигает символы на определенное количество позиций в алфавите (количество позиций определяется "ключом" шифрования).</t>
  </si>
  <si>
    <t>Первый аргумент - это формулы Excel. Они используют функции СИМВОЛ и КОДСИМВ, которые соответствуют ASCII-символам. Формулы заменяют каждый символ по сдвигу, определенному значением в ячейке $B$2, пока этот символ не является пробелом (число 32 в ASCII).</t>
  </si>
  <si>
    <t>Второй аргумент - это VBA-макрос, который работает похожим образом. Он принимает строку из текстового поля, перебирает каждый символ по отдельности, сдвигает его (если символ является буквой), затем соединяет все символы вместе и выводит результат в другом текстовом поле.</t>
  </si>
  <si>
    <t>Различия:</t>
  </si>
  <si>
    <r>
      <t>1)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Способ ввода данных: В Excel данными являются значения ячеек, которые формулы "вычисляют". VBA-макрос использует данные, введенные в текстовых полей формы.</t>
    </r>
  </si>
  <si>
    <r>
      <t>2)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Алфавит: В формуле Excel используется полный диапазон символов ASCII, включая небуквенные символы. VBA-макрос обрабатывает только символы кириллицы (строчные и прописные буквы).</t>
    </r>
  </si>
  <si>
    <r>
      <t>3)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Шифрование пробелов и символов: Excel оставляет пробелы и небуквенные символы без изменений. VBA-макрос также оставляет небуквенные символы без изменений, но не содержит изначальной проверки на пробелы.</t>
    </r>
  </si>
  <si>
    <r>
      <t>4)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1"/>
        <color theme="1"/>
        <rFont val="Calibri"/>
        <family val="2"/>
        <charset val="204"/>
        <scheme val="minor"/>
      </rPr>
      <t>Обработка верхнего и нижнего регистра: Excel не различает верхний и нижний регистры - все символы обрабатываются одинаково. В VBA-макросе верхний и нижний регистры обрабатываются отдельно.</t>
    </r>
  </si>
  <si>
    <t>№4</t>
  </si>
  <si>
    <t>Чем тоньше лед, тем больше всем хочется узнать, выдержит ли он. Биллингс</t>
  </si>
  <si>
    <t xml:space="preserve"> </t>
  </si>
  <si>
    <t>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</si>
</sst>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7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indent="7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left" vertical="center" indent="5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20</xdr:row>
          <xdr:rowOff>7620</xdr:rowOff>
        </xdr:from>
        <xdr:to>
          <xdr:col>2</xdr:col>
          <xdr:colOff>15240</xdr:colOff>
          <xdr:row>22</xdr:row>
          <xdr:rowOff>38100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U77"/>
  <sheetViews>
    <sheetView tabSelected="1" zoomScaleNormal="100" workbookViewId="0">
      <selection activeCell="B8" sqref="B8"/>
    </sheetView>
  </sheetViews>
  <sheetFormatPr defaultRowHeight="14.4" x14ac:dyDescent="0.3"/>
  <cols>
    <col min="1" max="1" width="17.109375" customWidth="1"/>
  </cols>
  <sheetData>
    <row r="1" spans="1:73" x14ac:dyDescent="0.3">
      <c r="A1" s="6" t="s">
        <v>0</v>
      </c>
      <c r="B1" s="6"/>
      <c r="C1" s="6"/>
      <c r="D1" s="6"/>
      <c r="E1" s="6"/>
      <c r="F1" s="6"/>
      <c r="G1" s="6"/>
    </row>
    <row r="2" spans="1:73" x14ac:dyDescent="0.3">
      <c r="A2" t="s">
        <v>1</v>
      </c>
      <c r="B2">
        <v>4</v>
      </c>
    </row>
    <row r="4" spans="1:73" x14ac:dyDescent="0.3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6</v>
      </c>
      <c r="I4" t="s">
        <v>9</v>
      </c>
      <c r="J4" t="s">
        <v>78</v>
      </c>
      <c r="K4" t="s">
        <v>77</v>
      </c>
      <c r="L4" t="s">
        <v>10</v>
      </c>
      <c r="M4" t="s">
        <v>7</v>
      </c>
      <c r="N4" t="s">
        <v>6</v>
      </c>
      <c r="O4" t="s">
        <v>11</v>
      </c>
      <c r="P4" t="s">
        <v>77</v>
      </c>
    </row>
    <row r="6" spans="1:73" x14ac:dyDescent="0.3">
      <c r="A6" t="s">
        <v>12</v>
      </c>
      <c r="B6" t="str">
        <f>IF(ISBLANK(B4),CHAR(32),CHAR(MOD(CODE(B4)+$B$2,256)))</f>
        <v>х</v>
      </c>
      <c r="C6" t="str">
        <f t="shared" ref="C6:O6" si="0">IF(ISBLANK(C4),CHAR(32),CHAR(MOD(CODE(C4)+$B$2,256)))</f>
        <v>т</v>
      </c>
      <c r="D6" t="str">
        <f t="shared" si="0"/>
        <v>п</v>
      </c>
      <c r="E6" t="str">
        <f t="shared" si="0"/>
        <v>с</v>
      </c>
      <c r="F6" t="str">
        <f t="shared" si="0"/>
        <v>й</v>
      </c>
      <c r="G6" t="str">
        <f t="shared" si="0"/>
        <v>ы</v>
      </c>
      <c r="H6" t="str">
        <f t="shared" si="0"/>
        <v>с</v>
      </c>
      <c r="I6" t="str">
        <f t="shared" si="0"/>
        <v>я</v>
      </c>
      <c r="J6" t="str">
        <f t="shared" si="0"/>
        <v>н</v>
      </c>
      <c r="K6" t="str">
        <f t="shared" si="0"/>
        <v>$</v>
      </c>
      <c r="L6" t="str">
        <f t="shared" si="0"/>
        <v>и</v>
      </c>
      <c r="M6" t="str">
        <f t="shared" si="0"/>
        <v>й</v>
      </c>
      <c r="N6" t="str">
        <f t="shared" si="0"/>
        <v>с</v>
      </c>
      <c r="O6" t="e">
        <f t="shared" si="0"/>
        <v>#VALUE!</v>
      </c>
      <c r="P6" t="s">
        <v>77</v>
      </c>
    </row>
    <row r="8" spans="1:73" x14ac:dyDescent="0.3">
      <c r="A8" t="s">
        <v>13</v>
      </c>
      <c r="B8" t="str">
        <f>IF(B6=CHAR(32),CHAR(32),CHAR(MOD(CODE(B6)-$B$2,256)))</f>
        <v>с</v>
      </c>
      <c r="C8" t="str">
        <f t="shared" ref="C8:O8" si="1">IF(C6=CHAR(32),CHAR(32),CHAR(MOD(CODE(C6)-$B$2,256)))</f>
        <v>о</v>
      </c>
      <c r="D8" t="str">
        <f t="shared" si="1"/>
        <v>л</v>
      </c>
      <c r="E8" t="str">
        <f t="shared" si="1"/>
        <v>н</v>
      </c>
      <c r="F8" t="str">
        <f t="shared" si="1"/>
        <v>е</v>
      </c>
      <c r="G8" t="str">
        <f t="shared" si="1"/>
        <v>ч</v>
      </c>
      <c r="H8" t="str">
        <f t="shared" si="1"/>
        <v>н</v>
      </c>
      <c r="I8" t="str">
        <f t="shared" si="1"/>
        <v>ы</v>
      </c>
      <c r="J8" t="str">
        <f t="shared" si="1"/>
        <v>й</v>
      </c>
      <c r="K8" t="str">
        <f t="shared" si="1"/>
        <v xml:space="preserve"> </v>
      </c>
      <c r="L8" t="str">
        <f t="shared" si="1"/>
        <v>д</v>
      </c>
      <c r="M8" t="str">
        <f t="shared" si="1"/>
        <v>е</v>
      </c>
      <c r="N8" t="str">
        <f t="shared" si="1"/>
        <v>н</v>
      </c>
      <c r="O8" t="e">
        <f t="shared" si="1"/>
        <v>#VALUE!</v>
      </c>
      <c r="P8" t="str">
        <f t="shared" ref="C8:P8" si="2">IF(P6=CHAR(32),CHAR(32),CHAR(MOD(CODE(P6)-$B$13,256)))</f>
        <v xml:space="preserve"> </v>
      </c>
    </row>
    <row r="12" spans="1:73" ht="18" customHeight="1" x14ac:dyDescent="0.3"/>
    <row r="13" spans="1:73" x14ac:dyDescent="0.3">
      <c r="A13" t="s">
        <v>1</v>
      </c>
      <c r="B13">
        <v>6</v>
      </c>
    </row>
    <row r="15" spans="1:73" x14ac:dyDescent="0.3">
      <c r="A15" t="s">
        <v>2</v>
      </c>
      <c r="B15" t="s">
        <v>14</v>
      </c>
      <c r="C15" t="s">
        <v>7</v>
      </c>
      <c r="D15" t="s">
        <v>15</v>
      </c>
      <c r="F15" t="s">
        <v>16</v>
      </c>
      <c r="G15" t="s">
        <v>4</v>
      </c>
      <c r="H15" t="s">
        <v>6</v>
      </c>
      <c r="I15" t="s">
        <v>11</v>
      </c>
      <c r="J15" t="s">
        <v>17</v>
      </c>
      <c r="K15" t="s">
        <v>7</v>
      </c>
      <c r="M15" t="s">
        <v>5</v>
      </c>
      <c r="N15" t="s">
        <v>7</v>
      </c>
      <c r="O15" t="s">
        <v>10</v>
      </c>
      <c r="P15" t="s">
        <v>18</v>
      </c>
      <c r="R15" t="s">
        <v>16</v>
      </c>
      <c r="S15" t="s">
        <v>7</v>
      </c>
      <c r="T15" t="s">
        <v>15</v>
      </c>
      <c r="V15" t="s">
        <v>19</v>
      </c>
      <c r="W15" t="s">
        <v>4</v>
      </c>
      <c r="X15" t="s">
        <v>5</v>
      </c>
      <c r="Y15" t="s">
        <v>11</v>
      </c>
      <c r="Z15" t="s">
        <v>17</v>
      </c>
      <c r="AA15" t="s">
        <v>7</v>
      </c>
      <c r="AC15" t="s">
        <v>20</v>
      </c>
      <c r="AD15" t="s">
        <v>3</v>
      </c>
      <c r="AE15" t="s">
        <v>7</v>
      </c>
      <c r="AF15" t="s">
        <v>15</v>
      </c>
      <c r="AH15" t="s">
        <v>21</v>
      </c>
      <c r="AI15" t="s">
        <v>4</v>
      </c>
      <c r="AJ15" t="s">
        <v>8</v>
      </c>
      <c r="AK15" t="s">
        <v>7</v>
      </c>
      <c r="AL15" t="s">
        <v>16</v>
      </c>
      <c r="AM15" t="s">
        <v>3</v>
      </c>
      <c r="AN15" t="s">
        <v>22</v>
      </c>
      <c r="AP15" t="s">
        <v>23</v>
      </c>
      <c r="AQ15" t="s">
        <v>24</v>
      </c>
      <c r="AR15" t="s">
        <v>6</v>
      </c>
      <c r="AS15" t="s">
        <v>25</v>
      </c>
      <c r="AT15" t="s">
        <v>16</v>
      </c>
      <c r="AU15" t="s">
        <v>11</v>
      </c>
      <c r="AV15" t="s">
        <v>18</v>
      </c>
      <c r="AX15" t="s">
        <v>20</v>
      </c>
      <c r="AY15" t="s">
        <v>9</v>
      </c>
      <c r="AZ15" t="s">
        <v>10</v>
      </c>
      <c r="BA15" t="s">
        <v>7</v>
      </c>
      <c r="BB15" t="s">
        <v>26</v>
      </c>
      <c r="BC15" t="s">
        <v>27</v>
      </c>
      <c r="BD15" t="s">
        <v>28</v>
      </c>
      <c r="BE15" t="s">
        <v>16</v>
      </c>
      <c r="BG15" t="s">
        <v>5</v>
      </c>
      <c r="BH15" t="s">
        <v>28</v>
      </c>
      <c r="BJ15" t="s">
        <v>4</v>
      </c>
      <c r="BK15" t="s">
        <v>6</v>
      </c>
      <c r="BL15" t="s">
        <v>29</v>
      </c>
      <c r="BN15" t="s">
        <v>30</v>
      </c>
      <c r="BO15" t="s">
        <v>28</v>
      </c>
      <c r="BP15" t="s">
        <v>5</v>
      </c>
      <c r="BQ15" t="s">
        <v>5</v>
      </c>
      <c r="BR15" t="s">
        <v>28</v>
      </c>
      <c r="BS15" t="s">
        <v>6</v>
      </c>
      <c r="BT15" t="s">
        <v>31</v>
      </c>
      <c r="BU15" t="s">
        <v>3</v>
      </c>
    </row>
    <row r="17" spans="1:73" x14ac:dyDescent="0.3">
      <c r="A17" t="s">
        <v>12</v>
      </c>
      <c r="B17" t="str">
        <f>IF(ISBLANK(B15),CHAR(32),CHAR(MOD(CODE(B15)+$B$13,256)))</f>
        <v>Э</v>
      </c>
      <c r="C17" t="str">
        <f t="shared" ref="C17:O17" si="3">IF(ISBLANK(C15),CHAR(32),CHAR(MOD(CODE(C15)+$B$13,256)))</f>
        <v>л</v>
      </c>
      <c r="D17" t="str">
        <f t="shared" si="3"/>
        <v>т</v>
      </c>
      <c r="E17" t="str">
        <f t="shared" si="3"/>
        <v xml:space="preserve"> </v>
      </c>
      <c r="F17" t="str">
        <f t="shared" si="3"/>
        <v>ш</v>
      </c>
      <c r="G17" t="str">
        <f t="shared" si="3"/>
        <v>ф</v>
      </c>
      <c r="H17" t="str">
        <f t="shared" si="3"/>
        <v>у</v>
      </c>
      <c r="I17" t="str">
        <f t="shared" si="3"/>
        <v>_x0002_</v>
      </c>
      <c r="J17" t="str">
        <f t="shared" si="3"/>
        <v>ю</v>
      </c>
      <c r="K17" t="str">
        <f t="shared" si="3"/>
        <v>л</v>
      </c>
      <c r="L17" t="str">
        <f t="shared" si="3"/>
        <v xml:space="preserve"> </v>
      </c>
      <c r="M17" t="str">
        <f t="shared" si="3"/>
        <v>с</v>
      </c>
      <c r="N17" t="str">
        <f t="shared" si="3"/>
        <v>л</v>
      </c>
      <c r="O17" t="str">
        <f t="shared" si="3"/>
        <v>к</v>
      </c>
      <c r="P17" t="str">
        <f t="shared" ref="P17:AU17" si="4">IF(ISBLANK(P15),CHAR(32),CHAR(MOD(CODE(P15)+$B$13,256)))</f>
        <v>2</v>
      </c>
      <c r="Q17" t="str">
        <f t="shared" si="4"/>
        <v xml:space="preserve"> </v>
      </c>
      <c r="R17" t="str">
        <f t="shared" si="4"/>
        <v>ш</v>
      </c>
      <c r="S17" t="str">
        <f t="shared" si="4"/>
        <v>л</v>
      </c>
      <c r="T17" t="str">
        <f t="shared" si="4"/>
        <v>т</v>
      </c>
      <c r="U17" t="str">
        <f t="shared" si="4"/>
        <v xml:space="preserve"> </v>
      </c>
      <c r="V17" t="str">
        <f t="shared" si="4"/>
        <v>з</v>
      </c>
      <c r="W17" t="str">
        <f t="shared" si="4"/>
        <v>ф</v>
      </c>
      <c r="X17" t="str">
        <f t="shared" si="4"/>
        <v>с</v>
      </c>
      <c r="Y17" t="str">
        <f t="shared" si="4"/>
        <v>_x0002_</v>
      </c>
      <c r="Z17" t="str">
        <f t="shared" si="4"/>
        <v>ю</v>
      </c>
      <c r="AA17" t="str">
        <f t="shared" si="4"/>
        <v>л</v>
      </c>
      <c r="AB17" t="str">
        <f t="shared" si="4"/>
        <v xml:space="preserve"> </v>
      </c>
      <c r="AC17" t="str">
        <f t="shared" si="4"/>
        <v>и</v>
      </c>
      <c r="AD17" t="str">
        <f t="shared" si="4"/>
        <v>ч</v>
      </c>
      <c r="AE17" t="str">
        <f t="shared" si="4"/>
        <v>л</v>
      </c>
      <c r="AF17" t="str">
        <f t="shared" si="4"/>
        <v>т</v>
      </c>
      <c r="AG17" t="str">
        <f t="shared" si="4"/>
        <v xml:space="preserve"> </v>
      </c>
      <c r="AH17" t="str">
        <f t="shared" si="4"/>
        <v>ы</v>
      </c>
      <c r="AI17" t="str">
        <f t="shared" si="4"/>
        <v>ф</v>
      </c>
      <c r="AJ17" t="str">
        <f t="shared" si="4"/>
        <v>э</v>
      </c>
      <c r="AK17" t="str">
        <f t="shared" si="4"/>
        <v>л</v>
      </c>
      <c r="AL17" t="str">
        <f t="shared" si="4"/>
        <v>ш</v>
      </c>
      <c r="AM17" t="str">
        <f t="shared" si="4"/>
        <v>ч</v>
      </c>
      <c r="AN17" t="str">
        <f t="shared" si="4"/>
        <v>_x0005_</v>
      </c>
      <c r="AO17" t="str">
        <f t="shared" si="4"/>
        <v xml:space="preserve"> </v>
      </c>
      <c r="AP17" t="str">
        <f t="shared" si="4"/>
        <v>щ</v>
      </c>
      <c r="AQ17" t="str">
        <f t="shared" si="4"/>
        <v>н</v>
      </c>
      <c r="AR17" t="str">
        <f t="shared" si="4"/>
        <v>у</v>
      </c>
      <c r="AS17" t="str">
        <f t="shared" si="4"/>
        <v>ж</v>
      </c>
      <c r="AT17" t="str">
        <f t="shared" si="4"/>
        <v>ш</v>
      </c>
      <c r="AU17" t="str">
        <f t="shared" si="4"/>
        <v>_x0002_</v>
      </c>
      <c r="AV17" t="str">
        <f t="shared" ref="AV17:BU17" si="5">IF(ISBLANK(AV15),CHAR(32),CHAR(MOD(CODE(AV15)+$B$13,256)))</f>
        <v>2</v>
      </c>
      <c r="AW17" t="str">
        <f t="shared" si="5"/>
        <v xml:space="preserve"> </v>
      </c>
      <c r="AX17" t="str">
        <f t="shared" si="5"/>
        <v>и</v>
      </c>
      <c r="AY17" t="str">
        <f t="shared" si="5"/>
        <v>_x0001_</v>
      </c>
      <c r="AZ17" t="str">
        <f t="shared" si="5"/>
        <v>к</v>
      </c>
      <c r="BA17" t="str">
        <f t="shared" si="5"/>
        <v>л</v>
      </c>
      <c r="BB17" t="str">
        <f t="shared" si="5"/>
        <v>ц</v>
      </c>
      <c r="BC17" t="str">
        <f t="shared" si="5"/>
        <v>м</v>
      </c>
      <c r="BD17" t="str">
        <f t="shared" si="5"/>
        <v>о</v>
      </c>
      <c r="BE17" t="str">
        <f t="shared" si="5"/>
        <v>ш</v>
      </c>
      <c r="BF17" t="str">
        <f t="shared" si="5"/>
        <v xml:space="preserve"> </v>
      </c>
      <c r="BG17" t="str">
        <f t="shared" si="5"/>
        <v>с</v>
      </c>
      <c r="BH17" t="str">
        <f t="shared" si="5"/>
        <v>о</v>
      </c>
      <c r="BI17" t="str">
        <f t="shared" si="5"/>
        <v xml:space="preserve"> </v>
      </c>
      <c r="BJ17" t="str">
        <f t="shared" si="5"/>
        <v>ф</v>
      </c>
      <c r="BK17" t="str">
        <f t="shared" si="5"/>
        <v>у</v>
      </c>
      <c r="BL17" t="str">
        <f t="shared" si="5"/>
        <v>4</v>
      </c>
      <c r="BM17" t="str">
        <f t="shared" si="5"/>
        <v xml:space="preserve"> </v>
      </c>
      <c r="BN17" t="str">
        <f t="shared" si="5"/>
        <v>З</v>
      </c>
      <c r="BO17" t="str">
        <f t="shared" si="5"/>
        <v>о</v>
      </c>
      <c r="BP17" t="str">
        <f t="shared" si="5"/>
        <v>с</v>
      </c>
      <c r="BQ17" t="str">
        <f t="shared" si="5"/>
        <v>с</v>
      </c>
      <c r="BR17" t="str">
        <f t="shared" si="5"/>
        <v>о</v>
      </c>
      <c r="BS17" t="str">
        <f t="shared" si="5"/>
        <v>у</v>
      </c>
      <c r="BT17" t="str">
        <f t="shared" si="5"/>
        <v>й</v>
      </c>
      <c r="BU17" t="str">
        <f t="shared" si="5"/>
        <v>ч</v>
      </c>
    </row>
    <row r="19" spans="1:73" x14ac:dyDescent="0.3">
      <c r="A19" t="s">
        <v>13</v>
      </c>
      <c r="B19" t="str">
        <f>IF(B17=CHAR(32),CHAR(32),CHAR(MOD(CODE(B17)-$B$13,256)))</f>
        <v>Ч</v>
      </c>
      <c r="C19" t="str">
        <f t="shared" ref="C19:BN19" si="6">IF(C17=CHAR(32),CHAR(32),CHAR(MOD(CODE(C17)-$B$13,256)))</f>
        <v>е</v>
      </c>
      <c r="D19" t="str">
        <f t="shared" si="6"/>
        <v>м</v>
      </c>
      <c r="E19" t="str">
        <f t="shared" si="6"/>
        <v xml:space="preserve"> </v>
      </c>
      <c r="F19" t="str">
        <f t="shared" si="6"/>
        <v>т</v>
      </c>
      <c r="G19" t="str">
        <f t="shared" si="6"/>
        <v>о</v>
      </c>
      <c r="H19" t="str">
        <f t="shared" si="6"/>
        <v>н</v>
      </c>
      <c r="I19" t="str">
        <f t="shared" si="6"/>
        <v>ь</v>
      </c>
      <c r="J19" t="str">
        <f t="shared" si="6"/>
        <v>ш</v>
      </c>
      <c r="K19" t="str">
        <f t="shared" si="6"/>
        <v>е</v>
      </c>
      <c r="L19" t="str">
        <f t="shared" si="6"/>
        <v xml:space="preserve"> </v>
      </c>
      <c r="M19" t="str">
        <f t="shared" si="6"/>
        <v>л</v>
      </c>
      <c r="N19" t="str">
        <f t="shared" si="6"/>
        <v>е</v>
      </c>
      <c r="O19" t="str">
        <f t="shared" si="6"/>
        <v>д</v>
      </c>
      <c r="P19" t="str">
        <f t="shared" si="6"/>
        <v>,</v>
      </c>
      <c r="Q19" t="str">
        <f t="shared" si="6"/>
        <v xml:space="preserve"> </v>
      </c>
      <c r="R19" t="str">
        <f t="shared" si="6"/>
        <v>т</v>
      </c>
      <c r="S19" t="str">
        <f t="shared" si="6"/>
        <v>е</v>
      </c>
      <c r="T19" t="str">
        <f t="shared" si="6"/>
        <v>м</v>
      </c>
      <c r="U19" t="str">
        <f t="shared" si="6"/>
        <v xml:space="preserve"> </v>
      </c>
      <c r="V19" t="str">
        <f t="shared" si="6"/>
        <v>б</v>
      </c>
      <c r="W19" t="str">
        <f t="shared" si="6"/>
        <v>о</v>
      </c>
      <c r="X19" t="str">
        <f t="shared" si="6"/>
        <v>л</v>
      </c>
      <c r="Y19" t="str">
        <f t="shared" si="6"/>
        <v>ь</v>
      </c>
      <c r="Z19" t="str">
        <f t="shared" si="6"/>
        <v>ш</v>
      </c>
      <c r="AA19" t="str">
        <f t="shared" si="6"/>
        <v>е</v>
      </c>
      <c r="AB19" t="str">
        <f t="shared" si="6"/>
        <v xml:space="preserve"> </v>
      </c>
      <c r="AC19" t="str">
        <f t="shared" si="6"/>
        <v>в</v>
      </c>
      <c r="AD19" t="str">
        <f t="shared" si="6"/>
        <v>с</v>
      </c>
      <c r="AE19" t="str">
        <f t="shared" si="6"/>
        <v>е</v>
      </c>
      <c r="AF19" t="str">
        <f t="shared" si="6"/>
        <v>м</v>
      </c>
      <c r="AG19" t="str">
        <f t="shared" si="6"/>
        <v xml:space="preserve"> </v>
      </c>
      <c r="AH19" t="str">
        <f t="shared" si="6"/>
        <v>х</v>
      </c>
      <c r="AI19" t="str">
        <f t="shared" si="6"/>
        <v>о</v>
      </c>
      <c r="AJ19" t="str">
        <f t="shared" si="6"/>
        <v>ч</v>
      </c>
      <c r="AK19" t="str">
        <f t="shared" si="6"/>
        <v>е</v>
      </c>
      <c r="AL19" t="str">
        <f t="shared" si="6"/>
        <v>т</v>
      </c>
      <c r="AM19" t="str">
        <f t="shared" si="6"/>
        <v>с</v>
      </c>
      <c r="AN19" t="str">
        <f t="shared" si="6"/>
        <v>я</v>
      </c>
      <c r="AO19" t="str">
        <f t="shared" si="6"/>
        <v xml:space="preserve"> </v>
      </c>
      <c r="AP19" t="str">
        <f t="shared" si="6"/>
        <v>у</v>
      </c>
      <c r="AQ19" t="str">
        <f t="shared" si="6"/>
        <v>з</v>
      </c>
      <c r="AR19" t="str">
        <f t="shared" si="6"/>
        <v>н</v>
      </c>
      <c r="AS19" t="str">
        <f t="shared" si="6"/>
        <v>а</v>
      </c>
      <c r="AT19" t="str">
        <f t="shared" si="6"/>
        <v>т</v>
      </c>
      <c r="AU19" t="str">
        <f t="shared" si="6"/>
        <v>ь</v>
      </c>
      <c r="AV19" t="str">
        <f t="shared" si="6"/>
        <v>,</v>
      </c>
      <c r="AW19" t="str">
        <f t="shared" si="6"/>
        <v xml:space="preserve"> </v>
      </c>
      <c r="AX19" t="str">
        <f t="shared" si="6"/>
        <v>в</v>
      </c>
      <c r="AY19" t="str">
        <f t="shared" si="6"/>
        <v>ы</v>
      </c>
      <c r="AZ19" t="str">
        <f t="shared" si="6"/>
        <v>д</v>
      </c>
      <c r="BA19" t="str">
        <f t="shared" si="6"/>
        <v>е</v>
      </c>
      <c r="BB19" t="str">
        <f t="shared" si="6"/>
        <v>р</v>
      </c>
      <c r="BC19" t="str">
        <f t="shared" si="6"/>
        <v>ж</v>
      </c>
      <c r="BD19" t="str">
        <f t="shared" si="6"/>
        <v>и</v>
      </c>
      <c r="BE19" t="str">
        <f t="shared" si="6"/>
        <v>т</v>
      </c>
      <c r="BF19" t="str">
        <f t="shared" si="6"/>
        <v xml:space="preserve"> </v>
      </c>
      <c r="BG19" t="str">
        <f t="shared" si="6"/>
        <v>л</v>
      </c>
      <c r="BH19" t="str">
        <f t="shared" si="6"/>
        <v>и</v>
      </c>
      <c r="BI19" t="str">
        <f t="shared" si="6"/>
        <v xml:space="preserve"> </v>
      </c>
      <c r="BJ19" t="str">
        <f t="shared" si="6"/>
        <v>о</v>
      </c>
      <c r="BK19" t="str">
        <f t="shared" si="6"/>
        <v>н</v>
      </c>
      <c r="BL19" t="str">
        <f t="shared" si="6"/>
        <v>.</v>
      </c>
      <c r="BM19" t="str">
        <f t="shared" si="6"/>
        <v xml:space="preserve"> </v>
      </c>
      <c r="BN19" t="str">
        <f t="shared" si="6"/>
        <v>Б</v>
      </c>
      <c r="BO19" t="str">
        <f t="shared" ref="BO19:BU19" si="7">IF(BO17=CHAR(32),CHAR(32),CHAR(MOD(CODE(BO17)-$B$13,256)))</f>
        <v>и</v>
      </c>
      <c r="BP19" t="str">
        <f t="shared" si="7"/>
        <v>л</v>
      </c>
      <c r="BQ19" t="str">
        <f t="shared" si="7"/>
        <v>л</v>
      </c>
      <c r="BR19" t="str">
        <f t="shared" si="7"/>
        <v>и</v>
      </c>
      <c r="BS19" t="str">
        <f t="shared" si="7"/>
        <v>н</v>
      </c>
      <c r="BT19" t="str">
        <f t="shared" si="7"/>
        <v>г</v>
      </c>
      <c r="BU19" t="str">
        <f t="shared" si="7"/>
        <v>с</v>
      </c>
    </row>
    <row r="21" spans="1:73" x14ac:dyDescent="0.3">
      <c r="A21" t="s">
        <v>75</v>
      </c>
    </row>
    <row r="22" spans="1:73" x14ac:dyDescent="0.3">
      <c r="D22" t="s">
        <v>76</v>
      </c>
    </row>
    <row r="25" spans="1:73" ht="16.8" customHeight="1" x14ac:dyDescent="0.3">
      <c r="A25" s="2" t="s">
        <v>32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73" x14ac:dyDescent="0.3">
      <c r="A26" s="3" t="s">
        <v>33</v>
      </c>
    </row>
    <row r="27" spans="1:73" x14ac:dyDescent="0.3">
      <c r="A27" s="4" t="s">
        <v>34</v>
      </c>
    </row>
    <row r="28" spans="1:73" x14ac:dyDescent="0.3">
      <c r="A28" s="3" t="s">
        <v>35</v>
      </c>
    </row>
    <row r="29" spans="1:73" x14ac:dyDescent="0.3">
      <c r="A29" s="4" t="s">
        <v>36</v>
      </c>
    </row>
    <row r="30" spans="1:73" x14ac:dyDescent="0.3">
      <c r="A30" s="3" t="s">
        <v>37</v>
      </c>
    </row>
    <row r="31" spans="1:73" x14ac:dyDescent="0.3">
      <c r="A31" s="4" t="s">
        <v>38</v>
      </c>
    </row>
    <row r="32" spans="1:73" x14ac:dyDescent="0.3">
      <c r="A32" s="3" t="s">
        <v>39</v>
      </c>
    </row>
    <row r="33" spans="1:1" x14ac:dyDescent="0.3">
      <c r="A33" s="4" t="s">
        <v>40</v>
      </c>
    </row>
    <row r="34" spans="1:1" x14ac:dyDescent="0.3">
      <c r="A34" s="3" t="s">
        <v>41</v>
      </c>
    </row>
    <row r="35" spans="1:1" x14ac:dyDescent="0.3">
      <c r="A35" s="4" t="s">
        <v>42</v>
      </c>
    </row>
    <row r="36" spans="1:1" x14ac:dyDescent="0.3">
      <c r="A36" s="3" t="s">
        <v>43</v>
      </c>
    </row>
    <row r="37" spans="1:1" x14ac:dyDescent="0.3">
      <c r="A37" s="4" t="s">
        <v>44</v>
      </c>
    </row>
    <row r="38" spans="1:1" x14ac:dyDescent="0.3">
      <c r="A38" s="3" t="s">
        <v>45</v>
      </c>
    </row>
    <row r="39" spans="1:1" x14ac:dyDescent="0.3">
      <c r="A39" s="4" t="s">
        <v>46</v>
      </c>
    </row>
    <row r="40" spans="1:1" x14ac:dyDescent="0.3">
      <c r="A40" s="3" t="s">
        <v>47</v>
      </c>
    </row>
    <row r="41" spans="1:1" x14ac:dyDescent="0.3">
      <c r="A41" s="4" t="s">
        <v>48</v>
      </c>
    </row>
    <row r="42" spans="1:1" x14ac:dyDescent="0.3">
      <c r="A42" s="3" t="s">
        <v>49</v>
      </c>
    </row>
    <row r="43" spans="1:1" x14ac:dyDescent="0.3">
      <c r="A43" s="4" t="s">
        <v>50</v>
      </c>
    </row>
    <row r="44" spans="1:1" x14ac:dyDescent="0.3">
      <c r="A44" s="3" t="s">
        <v>51</v>
      </c>
    </row>
    <row r="45" spans="1:1" x14ac:dyDescent="0.3">
      <c r="A45" s="4" t="s">
        <v>52</v>
      </c>
    </row>
    <row r="46" spans="1:1" x14ac:dyDescent="0.3">
      <c r="A46" s="3" t="s">
        <v>53</v>
      </c>
    </row>
    <row r="47" spans="1:1" x14ac:dyDescent="0.3">
      <c r="A47" s="4" t="s">
        <v>54</v>
      </c>
    </row>
    <row r="48" spans="1:1" x14ac:dyDescent="0.3">
      <c r="A48" s="4" t="s">
        <v>55</v>
      </c>
    </row>
    <row r="49" spans="1:1" x14ac:dyDescent="0.3">
      <c r="A49" s="4"/>
    </row>
    <row r="50" spans="1:1" x14ac:dyDescent="0.3">
      <c r="A50" s="4" t="s">
        <v>56</v>
      </c>
    </row>
    <row r="51" spans="1:1" x14ac:dyDescent="0.3">
      <c r="A51" s="4" t="s">
        <v>57</v>
      </c>
    </row>
    <row r="52" spans="1:1" x14ac:dyDescent="0.3">
      <c r="A52" s="4" t="s">
        <v>58</v>
      </c>
    </row>
    <row r="53" spans="1:1" x14ac:dyDescent="0.3">
      <c r="A53" s="4" t="s">
        <v>59</v>
      </c>
    </row>
    <row r="54" spans="1:1" x14ac:dyDescent="0.3">
      <c r="A54" s="4" t="s">
        <v>60</v>
      </c>
    </row>
    <row r="56" spans="1:1" x14ac:dyDescent="0.3">
      <c r="A56" s="2" t="s">
        <v>61</v>
      </c>
    </row>
    <row r="57" spans="1:1" x14ac:dyDescent="0.3">
      <c r="A57" s="4" t="s">
        <v>62</v>
      </c>
    </row>
    <row r="58" spans="1:1" x14ac:dyDescent="0.3">
      <c r="A58" s="4" t="s">
        <v>63</v>
      </c>
    </row>
    <row r="59" spans="1:1" x14ac:dyDescent="0.3">
      <c r="A59" s="4"/>
    </row>
    <row r="60" spans="1:1" x14ac:dyDescent="0.3">
      <c r="A60" s="4" t="s">
        <v>64</v>
      </c>
    </row>
    <row r="61" spans="1:1" x14ac:dyDescent="0.3">
      <c r="A61" s="4" t="s">
        <v>65</v>
      </c>
    </row>
    <row r="63" spans="1:1" x14ac:dyDescent="0.3">
      <c r="A63" s="2" t="s">
        <v>66</v>
      </c>
    </row>
    <row r="64" spans="1:1" x14ac:dyDescent="0.3">
      <c r="A64" s="4" t="s">
        <v>67</v>
      </c>
    </row>
    <row r="65" spans="1:1" x14ac:dyDescent="0.3">
      <c r="A65" s="4"/>
    </row>
    <row r="66" spans="1:1" x14ac:dyDescent="0.3">
      <c r="A66" s="4" t="s">
        <v>68</v>
      </c>
    </row>
    <row r="67" spans="1:1" x14ac:dyDescent="0.3">
      <c r="A67" s="4"/>
    </row>
    <row r="68" spans="1:1" x14ac:dyDescent="0.3">
      <c r="A68" s="4" t="s">
        <v>69</v>
      </c>
    </row>
    <row r="69" spans="1:1" x14ac:dyDescent="0.3">
      <c r="A69" s="4"/>
    </row>
    <row r="70" spans="1:1" x14ac:dyDescent="0.3">
      <c r="A70" s="4" t="s">
        <v>70</v>
      </c>
    </row>
    <row r="71" spans="1:1" x14ac:dyDescent="0.3">
      <c r="A71" s="5" t="s">
        <v>71</v>
      </c>
    </row>
    <row r="72" spans="1:1" x14ac:dyDescent="0.3">
      <c r="A72" s="4"/>
    </row>
    <row r="73" spans="1:1" x14ac:dyDescent="0.3">
      <c r="A73" s="5" t="s">
        <v>72</v>
      </c>
    </row>
    <row r="74" spans="1:1" x14ac:dyDescent="0.3">
      <c r="A74" s="4"/>
    </row>
    <row r="75" spans="1:1" x14ac:dyDescent="0.3">
      <c r="A75" s="5" t="s">
        <v>73</v>
      </c>
    </row>
    <row r="76" spans="1:1" x14ac:dyDescent="0.3">
      <c r="A76" s="4"/>
    </row>
    <row r="77" spans="1:1" x14ac:dyDescent="0.3">
      <c r="A77" s="5" t="s">
        <v>74</v>
      </c>
    </row>
  </sheetData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0</xdr:col>
                <xdr:colOff>297180</xdr:colOff>
                <xdr:row>20</xdr:row>
                <xdr:rowOff>7620</xdr:rowOff>
              </from>
              <to>
                <xdr:col>2</xdr:col>
                <xdr:colOff>15240</xdr:colOff>
                <xdr:row>22</xdr:row>
                <xdr:rowOff>38100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Лаб. Раб. №3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Михаил</cp:lastModifiedBy>
  <dcterms:created xsi:type="dcterms:W3CDTF">2015-06-05T18:19:34Z</dcterms:created>
  <dcterms:modified xsi:type="dcterms:W3CDTF">2023-12-22T00:03:05Z</dcterms:modified>
</cp:coreProperties>
</file>